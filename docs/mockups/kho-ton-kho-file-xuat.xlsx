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jobs\SVN\docs\mockups\"/>
    </mc:Choice>
  </mc:AlternateContent>
  <xr:revisionPtr revIDLastSave="0" documentId="13_ncr:1_{EA7F596D-D5DA-409D-94FA-C45F47C41D98}" xr6:coauthVersionLast="47" xr6:coauthVersionMax="47" xr10:uidLastSave="{00000000-0000-0000-0000-000000000000}"/>
  <bookViews>
    <workbookView xWindow="1884" yWindow="1884" windowWidth="17280" windowHeight="8880" xr2:uid="{00000000-000D-0000-FFFF-FFFF00000000}"/>
  </bookViews>
  <sheets>
    <sheet name="Tồn kho" sheetId="1" r:id="rId1"/>
    <sheet name="_ds" sheetId="2" state="hidden" r:id="rId2"/>
    <sheet name="Hướng dẫn" sheetId="3" r:id="rId3"/>
    <sheet name="_meta" sheetId="4" state="hidden" r:id="rId4"/>
  </sheets>
  <definedNames>
    <definedName name="_xlnm._FilterDatabase" localSheetId="0" hidden="1">'Tồn kho'!$A$1:$N$9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 r="I8" i="1"/>
  <c r="I7" i="1"/>
  <c r="I6" i="1"/>
  <c r="I5" i="1"/>
  <c r="I4" i="1"/>
  <c r="I3" i="1"/>
  <c r="I2" i="1"/>
</calcChain>
</file>

<file path=xl/sharedStrings.xml><?xml version="1.0" encoding="utf-8"?>
<sst xmlns="http://schemas.openxmlformats.org/spreadsheetml/2006/main" count="127" uniqueCount="92">
  <si>
    <t>Mã hàng (*)</t>
  </si>
  <si>
    <t>Tên hàng</t>
  </si>
  <si>
    <t>Định lượng</t>
  </si>
  <si>
    <t>Khổ rộng</t>
  </si>
  <si>
    <t>Khổ dài</t>
  </si>
  <si>
    <t>ĐVT (*)</t>
  </si>
  <si>
    <t>Số lượng (*)</t>
  </si>
  <si>
    <t>Đơn giá (*)</t>
  </si>
  <si>
    <t>Thành tiền</t>
  </si>
  <si>
    <t>Vị trí</t>
  </si>
  <si>
    <t>Hạn dùng</t>
  </si>
  <si>
    <t>Ngày nhập</t>
  </si>
  <si>
    <t>Nhà cung cấp</t>
  </si>
  <si>
    <t>Ghi chú</t>
  </si>
  <si>
    <t>COUCHE150</t>
  </si>
  <si>
    <t>Giấy Couche 150</t>
  </si>
  <si>
    <t>tờ</t>
  </si>
  <si>
    <t>A1-01</t>
  </si>
  <si>
    <t>Giấy Tân Mai</t>
  </si>
  <si>
    <t>A1-02</t>
  </si>
  <si>
    <t>Khổ cắt sẵn</t>
  </si>
  <si>
    <t>IVORY300</t>
  </si>
  <si>
    <t>Giấy Ivory 300</t>
  </si>
  <si>
    <t>kg</t>
  </si>
  <si>
    <t>B2-01</t>
  </si>
  <si>
    <t>Hansol Paper</t>
  </si>
  <si>
    <t>Cuộn</t>
  </si>
  <si>
    <t>DUPLEX250</t>
  </si>
  <si>
    <t>Giấy Duplex 250</t>
  </si>
  <si>
    <t>B2-03</t>
  </si>
  <si>
    <t>Giấy Sài Gòn</t>
  </si>
  <si>
    <t>KRAFT120</t>
  </si>
  <si>
    <t>Giấy Kraft 120</t>
  </si>
  <si>
    <t>C1-01</t>
  </si>
  <si>
    <t>Giấy An Bình</t>
  </si>
  <si>
    <t>BOPP-BONG</t>
  </si>
  <si>
    <t>Màng BOPP bóng 18mic</t>
  </si>
  <si>
    <t>m</t>
  </si>
  <si>
    <t>D1-04</t>
  </si>
  <si>
    <t>Màng Phú Lâm</t>
  </si>
  <si>
    <t>MUC-CYAN</t>
  </si>
  <si>
    <t>Mực offset Cyan</t>
  </si>
  <si>
    <t>E1-01</t>
  </si>
  <si>
    <t>DIC Việt Nam</t>
  </si>
  <si>
    <t>ram</t>
  </si>
  <si>
    <t>tấn</t>
  </si>
  <si>
    <t>cuộn</t>
  </si>
  <si>
    <t>hộp</t>
  </si>
  <si>
    <t>cái</t>
  </si>
  <si>
    <t>HƯỚNG DẪN NHẬP TỒN KHO</t>
  </si>
  <si>
    <t>Cột có dấu (*) là bắt buộc. Tên hàng, Định lượng, Thành tiền do hệ thống tự điền, ghi vào sẽ không được dùng.</t>
  </si>
  <si>
    <t>STT</t>
  </si>
  <si>
    <t>Cột</t>
  </si>
  <si>
    <t>Bắt buộc</t>
  </si>
  <si>
    <t>Cách ghi</t>
  </si>
  <si>
    <t>Mã hàng</t>
  </si>
  <si>
    <t>x</t>
  </si>
  <si>
    <t>Mã trong danh mục giấy hoặc danh mục vật tư.</t>
  </si>
  <si>
    <t>Hệ thống lấy theo mã.</t>
  </si>
  <si>
    <t>Chỉ giấy, đơn vị g/m2. Hệ thống lấy theo mã.</t>
  </si>
  <si>
    <t>Đơn vị mm. Hàng không có khổ thì bỏ trống cả khổ rộng và khổ dài.</t>
  </si>
  <si>
    <t>Đơn vị mm. Giấy cuộn, màng chỉ ghi khổ rộng.</t>
  </si>
  <si>
    <t>ĐVT</t>
  </si>
  <si>
    <t>Đơn vị đã khai của mặt hàng, hoặc đơn vị quy đổi được (ví dụ ram, hệ thống quy về tờ).</t>
  </si>
  <si>
    <t>Số lượng</t>
  </si>
  <si>
    <t>Số tồn thực tế theo ĐVT ở cột trước.</t>
  </si>
  <si>
    <t>Đơn giá</t>
  </si>
  <si>
    <t>Giá theo ĐVT ở cột trước, đơn vị đồng. File xuất ra là giá bình quân của hàng còn tồn.</t>
  </si>
  <si>
    <t>Số lượng nhân đơn giá.</t>
  </si>
  <si>
    <t>Vị trí đã khai trong kho.</t>
  </si>
  <si>
    <t>Dạng dd/mm/yyyy.</t>
  </si>
  <si>
    <t>Dạng dd/mm/yyyy. Bỏ trống thì lấy ngày hôm nay.</t>
  </si>
  <si>
    <t>Lưu ý</t>
  </si>
  <si>
    <t>1.</t>
  </si>
  <si>
    <t>Mỗi mặt hàng được xác định bằng Mã hàng, Khổ và ĐVT. Mặt hàng đã có trong kho thì dòng trong file sẽ cập nhật lại số lượng, không tạo dòng mới.</t>
  </si>
  <si>
    <t>2.</t>
  </si>
  <si>
    <t>Cùng mã nhưng khác khổ là hai mặt hàng khác nhau.</t>
  </si>
  <si>
    <t>3.</t>
  </si>
  <si>
    <t>Mỗi mặt hàng chỉ ghi một dòng. Ghi 2 ram và 1000 tờ cho cùng một khổ là trùng.</t>
  </si>
  <si>
    <t>4.</t>
  </si>
  <si>
    <t>Ngày nhập trước kỳ báo cáo thì được tính vào tồn đầu kỳ, trong kỳ thì tính vào nhập trong kỳ. Không nhập được vào kỳ đã tính giá.</t>
  </si>
  <si>
    <t>5.</t>
  </si>
  <si>
    <t>File có lỗi thì không dòng nào được ghi. Sửa hết lỗi theo thông báo rồi nhập lại.</t>
  </si>
  <si>
    <t>6.</t>
  </si>
  <si>
    <t>File chỉ nhập được vào đúng kho đã tải file về.</t>
  </si>
  <si>
    <t>khoa</t>
  </si>
  <si>
    <t>gia_tri</t>
  </si>
  <si>
    <t>loai</t>
  </si>
  <si>
    <t>ton_kho</t>
  </si>
  <si>
    <t>kho_ma</t>
  </si>
  <si>
    <t>KHO-NVL</t>
  </si>
  <si>
    <t>phien_ban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</si>
</sst>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Arial"/>
      <family val="2"/>
      <scheme val="minor"/>
    </font>
    <font>
      <b/>
      <sz val="10"/>
      <name val="Arial"/>
    </font>
    <font>
      <sz val="10"/>
      <name val="Arial"/>
    </font>
    <font>
      <b/>
      <sz val="12"/>
      <name val="Arial"/>
    </font>
  </fonts>
  <fills count="3">
    <fill>
      <patternFill patternType="none"/>
    </fill>
    <fill>
      <patternFill patternType="gray125"/>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right" vertical="center"/>
    </xf>
    <xf numFmtId="49" fontId="2" fillId="0" borderId="1" xfId="0" applyNumberFormat="1" applyFont="1" applyBorder="1" applyAlignment="1">
      <alignment horizontal="center" vertical="center"/>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14" fontId="2" fillId="0" borderId="1" xfId="0" applyNumberFormat="1" applyFont="1" applyBorder="1" applyAlignment="1">
      <alignment horizontal="center" vertical="center"/>
    </xf>
    <xf numFmtId="0" fontId="3" fillId="0" borderId="0" xfId="0" applyFont="1"/>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0" borderId="0" xfId="0" applyFont="1"/>
    <xf numFmtId="0" fontId="2" fillId="0" borderId="0" xfId="0" applyFont="1" applyAlignment="1">
      <alignment horizontal="center" vertical="top"/>
    </xf>
    <xf numFmtId="0" fontId="2" fillId="0" borderId="0" xfId="0" applyFont="1" applyAlignment="1">
      <alignment vertical="top" wrapText="1"/>
    </xf>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1" workbookViewId="0">
      <pane ySplit="1" topLeftCell="A2" activePane="bottomLeft" state="frozen"/>
      <selection pane="bottomLeft"/>
    </sheetView>
  </sheetViews>
  <sheetFormatPr defaultRowHeight="13.8" x14ac:dyDescent="0.25"/>
  <cols>
    <col min="1" max="1" width="17" customWidth="1"/>
    <col min="2" max="2" width="32" customWidth="1"/>
    <col min="3" max="3" width="14" customWidth="1"/>
    <col min="4" max="5" width="13" customWidth="1"/>
    <col min="6" max="6" width="12" customWidth="1"/>
    <col min="7" max="8" width="16" customWidth="1"/>
    <col min="9" max="9" width="18" customWidth="1"/>
    <col min="10" max="10" width="13" customWidth="1"/>
    <col min="11" max="12" width="15" customWidth="1"/>
    <col min="13" max="13" width="24" customWidth="1"/>
    <col min="14" max="14" width="28" customWidth="1"/>
  </cols>
  <sheetData>
    <row r="1" spans="1:14" ht="19.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3">
        <v>150</v>
      </c>
      <c r="D2" s="3">
        <v>790</v>
      </c>
      <c r="E2" s="3">
        <v>1090</v>
      </c>
      <c r="F2" s="4" t="s">
        <v>16</v>
      </c>
      <c r="G2" s="5">
        <v>493</v>
      </c>
      <c r="H2" s="6">
        <v>3153.4</v>
      </c>
      <c r="I2" s="5">
        <f t="shared" ref="I2:I9" si="0">IF(OR(G2="",H2=""),"",ROUND(G2*H2,0))</f>
        <v>1554626</v>
      </c>
      <c r="J2" s="4" t="s">
        <v>17</v>
      </c>
      <c r="K2" s="7"/>
      <c r="L2" s="7">
        <v>46320</v>
      </c>
      <c r="M2" s="2" t="s">
        <v>18</v>
      </c>
      <c r="N2" s="2"/>
    </row>
    <row r="3" spans="1:14" x14ac:dyDescent="0.25">
      <c r="A3" s="2" t="s">
        <v>14</v>
      </c>
      <c r="B3" s="2" t="s">
        <v>15</v>
      </c>
      <c r="C3" s="3">
        <v>150</v>
      </c>
      <c r="D3" s="3">
        <v>650</v>
      </c>
      <c r="E3" s="3">
        <v>860</v>
      </c>
      <c r="F3" s="4" t="s">
        <v>16</v>
      </c>
      <c r="G3" s="5">
        <v>1200</v>
      </c>
      <c r="H3" s="5">
        <v>2080</v>
      </c>
      <c r="I3" s="5">
        <f t="shared" si="0"/>
        <v>2496000</v>
      </c>
      <c r="J3" s="4" t="s">
        <v>19</v>
      </c>
      <c r="K3" s="7"/>
      <c r="L3" s="7">
        <v>46295</v>
      </c>
      <c r="M3" s="2" t="s">
        <v>18</v>
      </c>
      <c r="N3" s="2" t="s">
        <v>20</v>
      </c>
    </row>
    <row r="4" spans="1:14" x14ac:dyDescent="0.25">
      <c r="A4" s="2" t="s">
        <v>21</v>
      </c>
      <c r="B4" s="2" t="s">
        <v>22</v>
      </c>
      <c r="C4" s="3">
        <v>300</v>
      </c>
      <c r="D4" s="3">
        <v>650</v>
      </c>
      <c r="E4" s="3"/>
      <c r="F4" s="4" t="s">
        <v>23</v>
      </c>
      <c r="G4" s="6">
        <v>845.5</v>
      </c>
      <c r="H4" s="5">
        <v>21500</v>
      </c>
      <c r="I4" s="5">
        <f t="shared" si="0"/>
        <v>18178250</v>
      </c>
      <c r="J4" s="4" t="s">
        <v>24</v>
      </c>
      <c r="K4" s="7"/>
      <c r="L4" s="7">
        <v>46307</v>
      </c>
      <c r="M4" s="2" t="s">
        <v>25</v>
      </c>
      <c r="N4" s="2" t="s">
        <v>26</v>
      </c>
    </row>
    <row r="5" spans="1:14" x14ac:dyDescent="0.25">
      <c r="A5" s="2" t="s">
        <v>27</v>
      </c>
      <c r="B5" s="2" t="s">
        <v>28</v>
      </c>
      <c r="C5" s="3">
        <v>250</v>
      </c>
      <c r="D5" s="3">
        <v>790</v>
      </c>
      <c r="E5" s="3">
        <v>1090</v>
      </c>
      <c r="F5" s="4" t="s">
        <v>16</v>
      </c>
      <c r="G5" s="5">
        <v>3000</v>
      </c>
      <c r="H5" s="5">
        <v>2950</v>
      </c>
      <c r="I5" s="5">
        <f t="shared" si="0"/>
        <v>8850000</v>
      </c>
      <c r="J5" s="4" t="s">
        <v>29</v>
      </c>
      <c r="K5" s="7"/>
      <c r="L5" s="7">
        <v>46295</v>
      </c>
      <c r="M5" s="2" t="s">
        <v>30</v>
      </c>
      <c r="N5" s="2"/>
    </row>
    <row r="6" spans="1:14" x14ac:dyDescent="0.25">
      <c r="A6" s="2" t="s">
        <v>31</v>
      </c>
      <c r="B6" s="2" t="s">
        <v>32</v>
      </c>
      <c r="C6" s="3">
        <v>120</v>
      </c>
      <c r="D6" s="3">
        <v>1200</v>
      </c>
      <c r="E6" s="3"/>
      <c r="F6" s="4" t="s">
        <v>23</v>
      </c>
      <c r="G6" s="5">
        <v>0</v>
      </c>
      <c r="H6" s="5">
        <v>16800</v>
      </c>
      <c r="I6" s="5">
        <f t="shared" si="0"/>
        <v>0</v>
      </c>
      <c r="J6" s="4" t="s">
        <v>33</v>
      </c>
      <c r="K6" s="7"/>
      <c r="L6" s="7">
        <v>46254</v>
      </c>
      <c r="M6" s="2" t="s">
        <v>34</v>
      </c>
      <c r="N6" s="2"/>
    </row>
    <row r="7" spans="1:14" x14ac:dyDescent="0.25">
      <c r="A7" s="2" t="s">
        <v>35</v>
      </c>
      <c r="B7" s="2" t="s">
        <v>36</v>
      </c>
      <c r="C7" s="3"/>
      <c r="D7" s="3">
        <v>320</v>
      </c>
      <c r="E7" s="3"/>
      <c r="F7" s="4" t="s">
        <v>37</v>
      </c>
      <c r="G7" s="5">
        <v>4000</v>
      </c>
      <c r="H7" s="5">
        <v>520</v>
      </c>
      <c r="I7" s="5">
        <f t="shared" si="0"/>
        <v>2080000</v>
      </c>
      <c r="J7" s="4" t="s">
        <v>38</v>
      </c>
      <c r="K7" s="7">
        <v>46568</v>
      </c>
      <c r="L7" s="7">
        <v>46297</v>
      </c>
      <c r="M7" s="2" t="s">
        <v>39</v>
      </c>
      <c r="N7" s="2"/>
    </row>
    <row r="8" spans="1:14" x14ac:dyDescent="0.25">
      <c r="A8" s="2" t="s">
        <v>35</v>
      </c>
      <c r="B8" s="2" t="s">
        <v>36</v>
      </c>
      <c r="C8" s="3"/>
      <c r="D8" s="3">
        <v>350</v>
      </c>
      <c r="E8" s="3"/>
      <c r="F8" s="4" t="s">
        <v>37</v>
      </c>
      <c r="G8" s="5">
        <v>2500</v>
      </c>
      <c r="H8" s="5">
        <v>565</v>
      </c>
      <c r="I8" s="5">
        <f t="shared" si="0"/>
        <v>1412500</v>
      </c>
      <c r="J8" s="4" t="s">
        <v>38</v>
      </c>
      <c r="K8" s="7">
        <v>46568</v>
      </c>
      <c r="L8" s="7">
        <v>46297</v>
      </c>
      <c r="M8" s="2" t="s">
        <v>39</v>
      </c>
      <c r="N8" s="2"/>
    </row>
    <row r="9" spans="1:14" x14ac:dyDescent="0.25">
      <c r="A9" s="2" t="s">
        <v>40</v>
      </c>
      <c r="B9" s="2" t="s">
        <v>41</v>
      </c>
      <c r="C9" s="3"/>
      <c r="D9" s="3"/>
      <c r="E9" s="3"/>
      <c r="F9" s="4" t="s">
        <v>23</v>
      </c>
      <c r="G9" s="5">
        <v>18</v>
      </c>
      <c r="H9" s="5">
        <v>185000</v>
      </c>
      <c r="I9" s="5">
        <f t="shared" si="0"/>
        <v>3330000</v>
      </c>
      <c r="J9" s="4" t="s">
        <v>42</v>
      </c>
      <c r="K9" s="7">
        <v>46477</v>
      </c>
      <c r="L9" s="7">
        <v>46280</v>
      </c>
      <c r="M9" s="2" t="s">
        <v>43</v>
      </c>
      <c r="N9" s="2"/>
    </row>
  </sheetData>
  <autoFilter ref="A1:N9" xr:uid="{00000000-0009-0000-0000-000000000000}"/>
  <dataValidations count="2">
    <dataValidation type="decimal" operator="greaterThanOrEqual" allowBlank="1" error="Nhập số lớn hơn hoặc bằng 0." sqref="G2:H1000" xr:uid="{00000000-0002-0000-0000-000002000000}">
      <formula1>0</formula1>
    </dataValidation>
    <dataValidation type="date" operator="greaterThan" allowBlank="1" error="Nhập ngày theo dạng dd/mm/yyyy." sqref="K2:L1000" xr:uid="{00000000-0002-0000-0000-000004000000}">
      <formula1>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_ds!$A$1:$A$8</xm:f>
          </x14:formula1>
          <xm:sqref>F2:F1000</xm:sqref>
        </x14:dataValidation>
        <x14:dataValidation type="list" allowBlank="1" xr:uid="{00000000-0002-0000-0000-000001000000}">
          <x14:formula1>
            <xm:f>_ds!$B$1:$B$7</xm:f>
          </x14:formula1>
          <xm:sqref>J2:J1000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3.8" x14ac:dyDescent="0.25"/>
  <sheetData>
    <row r="1" spans="1:2" x14ac:dyDescent="0.25">
      <c r="A1" t="s">
        <v>16</v>
      </c>
      <c r="B1" t="s">
        <v>17</v>
      </c>
    </row>
    <row r="2" spans="1:2" x14ac:dyDescent="0.25">
      <c r="A2" t="s">
        <v>44</v>
      </c>
      <c r="B2" t="s">
        <v>19</v>
      </c>
    </row>
    <row r="3" spans="1:2" x14ac:dyDescent="0.25">
      <c r="A3" t="s">
        <v>23</v>
      </c>
      <c r="B3" t="s">
        <v>24</v>
      </c>
    </row>
    <row r="4" spans="1:2" x14ac:dyDescent="0.25">
      <c r="A4" t="s">
        <v>45</v>
      </c>
      <c r="B4" t="s">
        <v>29</v>
      </c>
    </row>
    <row r="5" spans="1:2" x14ac:dyDescent="0.25">
      <c r="A5" t="s">
        <v>37</v>
      </c>
      <c r="B5" t="s">
        <v>33</v>
      </c>
    </row>
    <row r="6" spans="1:2" x14ac:dyDescent="0.25">
      <c r="A6" t="s">
        <v>46</v>
      </c>
      <c r="B6" t="s">
        <v>38</v>
      </c>
    </row>
    <row r="7" spans="1:2" x14ac:dyDescent="0.25">
      <c r="A7" t="s">
        <v>47</v>
      </c>
      <c r="B7" t="s">
        <v>42</v>
      </c>
    </row>
    <row r="8" spans="1:2" x14ac:dyDescent="0.25">
      <c r="A8"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heetViews>
  <sheetFormatPr defaultRowHeight="13.8" x14ac:dyDescent="0.25"/>
  <cols>
    <col min="1" max="1" width="6" customWidth="1"/>
    <col min="2" max="2" width="16" customWidth="1"/>
    <col min="3" max="3" width="10" customWidth="1"/>
    <col min="4" max="4" width="80" customWidth="1"/>
  </cols>
  <sheetData>
    <row r="1" spans="1:4" ht="15.6" x14ac:dyDescent="0.3">
      <c r="A1" s="8" t="s">
        <v>49</v>
      </c>
    </row>
    <row r="2" spans="1:4" x14ac:dyDescent="0.25">
      <c r="A2" s="9" t="s">
        <v>50</v>
      </c>
    </row>
    <row r="4" spans="1:4" x14ac:dyDescent="0.25">
      <c r="A4" s="1" t="s">
        <v>51</v>
      </c>
      <c r="B4" s="1" t="s">
        <v>52</v>
      </c>
      <c r="C4" s="1" t="s">
        <v>53</v>
      </c>
      <c r="D4" s="1" t="s">
        <v>54</v>
      </c>
    </row>
    <row r="5" spans="1:4" x14ac:dyDescent="0.25">
      <c r="A5" s="10">
        <v>1</v>
      </c>
      <c r="B5" s="11" t="s">
        <v>55</v>
      </c>
      <c r="C5" s="10" t="s">
        <v>56</v>
      </c>
      <c r="D5" s="11" t="s">
        <v>57</v>
      </c>
    </row>
    <row r="6" spans="1:4" x14ac:dyDescent="0.25">
      <c r="A6" s="10">
        <v>2</v>
      </c>
      <c r="B6" s="11" t="s">
        <v>1</v>
      </c>
      <c r="C6" s="10"/>
      <c r="D6" s="11" t="s">
        <v>58</v>
      </c>
    </row>
    <row r="7" spans="1:4" x14ac:dyDescent="0.25">
      <c r="A7" s="10">
        <v>3</v>
      </c>
      <c r="B7" s="11" t="s">
        <v>2</v>
      </c>
      <c r="C7" s="10"/>
      <c r="D7" s="11" t="s">
        <v>59</v>
      </c>
    </row>
    <row r="8" spans="1:4" x14ac:dyDescent="0.25">
      <c r="A8" s="10">
        <v>4</v>
      </c>
      <c r="B8" s="11" t="s">
        <v>3</v>
      </c>
      <c r="C8" s="10"/>
      <c r="D8" s="11" t="s">
        <v>60</v>
      </c>
    </row>
    <row r="9" spans="1:4" x14ac:dyDescent="0.25">
      <c r="A9" s="10">
        <v>5</v>
      </c>
      <c r="B9" s="11" t="s">
        <v>4</v>
      </c>
      <c r="C9" s="10"/>
      <c r="D9" s="11" t="s">
        <v>61</v>
      </c>
    </row>
    <row r="10" spans="1:4" x14ac:dyDescent="0.25">
      <c r="A10" s="10">
        <v>6</v>
      </c>
      <c r="B10" s="11" t="s">
        <v>62</v>
      </c>
      <c r="C10" s="10" t="s">
        <v>56</v>
      </c>
      <c r="D10" s="11" t="s">
        <v>63</v>
      </c>
    </row>
    <row r="11" spans="1:4" x14ac:dyDescent="0.25">
      <c r="A11" s="10">
        <v>7</v>
      </c>
      <c r="B11" s="11" t="s">
        <v>64</v>
      </c>
      <c r="C11" s="10" t="s">
        <v>56</v>
      </c>
      <c r="D11" s="11" t="s">
        <v>65</v>
      </c>
    </row>
    <row r="12" spans="1:4" x14ac:dyDescent="0.25">
      <c r="A12" s="10">
        <v>8</v>
      </c>
      <c r="B12" s="11" t="s">
        <v>66</v>
      </c>
      <c r="C12" s="10" t="s">
        <v>56</v>
      </c>
      <c r="D12" s="11" t="s">
        <v>67</v>
      </c>
    </row>
    <row r="13" spans="1:4" x14ac:dyDescent="0.25">
      <c r="A13" s="10">
        <v>9</v>
      </c>
      <c r="B13" s="11" t="s">
        <v>8</v>
      </c>
      <c r="C13" s="10"/>
      <c r="D13" s="11" t="s">
        <v>68</v>
      </c>
    </row>
    <row r="14" spans="1:4" x14ac:dyDescent="0.25">
      <c r="A14" s="10">
        <v>10</v>
      </c>
      <c r="B14" s="11" t="s">
        <v>9</v>
      </c>
      <c r="C14" s="10"/>
      <c r="D14" s="11" t="s">
        <v>69</v>
      </c>
    </row>
    <row r="15" spans="1:4" x14ac:dyDescent="0.25">
      <c r="A15" s="10">
        <v>11</v>
      </c>
      <c r="B15" s="11" t="s">
        <v>10</v>
      </c>
      <c r="C15" s="10"/>
      <c r="D15" s="11" t="s">
        <v>70</v>
      </c>
    </row>
    <row r="16" spans="1:4" x14ac:dyDescent="0.25">
      <c r="A16" s="10">
        <v>12</v>
      </c>
      <c r="B16" s="11" t="s">
        <v>11</v>
      </c>
      <c r="C16" s="10"/>
      <c r="D16" s="11" t="s">
        <v>71</v>
      </c>
    </row>
    <row r="17" spans="1:4" x14ac:dyDescent="0.25">
      <c r="A17" s="10">
        <v>13</v>
      </c>
      <c r="B17" s="11" t="s">
        <v>12</v>
      </c>
      <c r="C17" s="10"/>
      <c r="D17" s="11"/>
    </row>
    <row r="18" spans="1:4" x14ac:dyDescent="0.25">
      <c r="A18" s="10">
        <v>14</v>
      </c>
      <c r="B18" s="11" t="s">
        <v>13</v>
      </c>
      <c r="C18" s="10"/>
      <c r="D18" s="11"/>
    </row>
    <row r="20" spans="1:4" x14ac:dyDescent="0.25">
      <c r="A20" s="12" t="s">
        <v>72</v>
      </c>
    </row>
    <row r="21" spans="1:4" ht="27" customHeight="1" x14ac:dyDescent="0.25">
      <c r="A21" s="13" t="s">
        <v>73</v>
      </c>
      <c r="B21" s="14" t="s">
        <v>74</v>
      </c>
      <c r="C21" s="15"/>
      <c r="D21" s="15"/>
    </row>
    <row r="22" spans="1:4" ht="13.95" customHeight="1" x14ac:dyDescent="0.25">
      <c r="A22" s="13" t="s">
        <v>75</v>
      </c>
      <c r="B22" s="14" t="s">
        <v>76</v>
      </c>
      <c r="C22" s="15"/>
      <c r="D22" s="15"/>
    </row>
    <row r="23" spans="1:4" ht="13.95" customHeight="1" x14ac:dyDescent="0.25">
      <c r="A23" s="13" t="s">
        <v>77</v>
      </c>
      <c r="B23" s="14" t="s">
        <v>78</v>
      </c>
      <c r="C23" s="15"/>
      <c r="D23" s="15"/>
    </row>
    <row r="24" spans="1:4" ht="13.95" customHeight="1" x14ac:dyDescent="0.25">
      <c r="A24" s="13" t="s">
        <v>79</v>
      </c>
      <c r="B24" s="14" t="s">
        <v>80</v>
      </c>
      <c r="C24" s="15"/>
      <c r="D24" s="15"/>
    </row>
    <row r="25" spans="1:4" ht="13.95" customHeight="1" x14ac:dyDescent="0.25">
      <c r="A25" s="13" t="s">
        <v>81</v>
      </c>
      <c r="B25" s="14" t="s">
        <v>82</v>
      </c>
      <c r="C25" s="15"/>
      <c r="D25" s="15"/>
    </row>
    <row r="26" spans="1:4" ht="13.95" customHeight="1" x14ac:dyDescent="0.25">
      <c r="A26" s="13" t="s">
        <v>83</v>
      </c>
      <c r="B26" s="14" t="s">
        <v>84</v>
      </c>
      <c r="C26" s="15"/>
      <c r="D26" s="15"/>
    </row>
  </sheetData>
  <mergeCells count="6">
    <mergeCell ref="B23:D23"/>
    <mergeCell ref="B22:D22"/>
    <mergeCell ref="B26:D26"/>
    <mergeCell ref="B21:D21"/>
    <mergeCell ref="B25:D25"/>
    <mergeCell ref="B24:D2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3.8" x14ac:dyDescent="0.25"/>
  <sheetData>
    <row r="1" spans="1:2" x14ac:dyDescent="0.25">
      <c r="A1" t="s">
        <v>85</v>
      </c>
      <c r="B1" t="s">
        <v>86</v>
      </c>
    </row>
    <row r="2" spans="1:2" x14ac:dyDescent="0.25">
      <c r="A2" t="s">
        <v>87</v>
      </c>
      <c r="B2" t="s">
        <v>88</v>
      </c>
    </row>
    <row r="3" spans="1:2" x14ac:dyDescent="0.25">
      <c r="A3" t="s">
        <v>89</v>
      </c>
      <c r="B3" t="s">
        <v>90</v>
      </c>
    </row>
    <row r="4" spans="1:2" x14ac:dyDescent="0.25">
      <c r="A4" t="s">
        <v>91</v>
      </c>
      <c r="B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Tồn kho</vt:lpstr>
      <vt:lpstr>_ds</vt:lpstr>
      <vt:lpstr>Hướng dẫn</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lv thong</cp:lastModifiedBy>
  <dcterms:created xsi:type="dcterms:W3CDTF">2026-10-27T17:40:44Z</dcterms:created>
  <dcterms:modified xsi:type="dcterms:W3CDTF">2026-10-27T17:41:01Z</dcterms:modified>
</cp:coreProperties>
</file>